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01-work\01-芯片产品\06-Chelsea-A\00-应用方案\GH303x系列VLED低压应用方案\"/>
    </mc:Choice>
  </mc:AlternateContent>
  <bookViews>
    <workbookView xWindow="0" yWindow="0" windowWidth="28800" windowHeight="12165" activeTab="2"/>
  </bookViews>
  <sheets>
    <sheet name="LED选型评估表" sheetId="4" r:id="rId1"/>
    <sheet name="CTR与I_LED自动核算" sheetId="3" r:id="rId2"/>
    <sheet name="芯片内部压降自动核算" sheetId="2" r:id="rId3"/>
    <sheet name="LED选型推荐" sheetId="5" r:id="rId4"/>
  </sheets>
  <calcPr calcId="162913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3" l="1"/>
  <c r="H5" i="4"/>
  <c r="J5" i="4"/>
  <c r="K5" i="4"/>
  <c r="I5" i="2"/>
  <c r="H5" i="2"/>
  <c r="J5" i="2"/>
</calcChain>
</file>

<file path=xl/sharedStrings.xml><?xml version="1.0" encoding="utf-8"?>
<sst xmlns="http://schemas.openxmlformats.org/spreadsheetml/2006/main" count="64" uniqueCount="52">
  <si>
    <t>单位</t>
    <phoneticPr fontId="1" type="noConversion"/>
  </si>
  <si>
    <t>说明</t>
    <phoneticPr fontId="1" type="noConversion"/>
  </si>
  <si>
    <t>mA</t>
    <phoneticPr fontId="1" type="noConversion"/>
  </si>
  <si>
    <t>项目</t>
    <phoneticPr fontId="1" type="noConversion"/>
  </si>
  <si>
    <t>符号</t>
    <phoneticPr fontId="1" type="noConversion"/>
  </si>
  <si>
    <t>I_LED</t>
    <phoneticPr fontId="1" type="noConversion"/>
  </si>
  <si>
    <t>类型</t>
    <phoneticPr fontId="1" type="noConversion"/>
  </si>
  <si>
    <t>Magellan3</t>
    <phoneticPr fontId="1" type="noConversion"/>
  </si>
  <si>
    <t>I_LED (mA)</t>
    <phoneticPr fontId="1" type="noConversion"/>
  </si>
  <si>
    <t>CTR</t>
    <phoneticPr fontId="1" type="noConversion"/>
  </si>
  <si>
    <t>LED驱动电流</t>
    <phoneticPr fontId="1" type="noConversion"/>
  </si>
  <si>
    <t>说明</t>
  </si>
  <si>
    <t>备注</t>
    <phoneticPr fontId="1" type="noConversion"/>
  </si>
  <si>
    <t>电流传输比</t>
    <phoneticPr fontId="1" type="noConversion"/>
  </si>
  <si>
    <t>-</t>
    <phoneticPr fontId="1" type="noConversion"/>
  </si>
  <si>
    <t>CTR与I_LED自动核算表</t>
    <phoneticPr fontId="1" type="noConversion"/>
  </si>
  <si>
    <t>芯片内部压降自动核算表</t>
    <phoneticPr fontId="1" type="noConversion"/>
  </si>
  <si>
    <t>芯片型号</t>
    <phoneticPr fontId="1" type="noConversion"/>
  </si>
  <si>
    <t>VLED供电电压（Volt)</t>
    <phoneticPr fontId="1" type="noConversion"/>
  </si>
  <si>
    <t>HSSW导通阻抗压降(Vlot)</t>
    <phoneticPr fontId="1" type="noConversion"/>
  </si>
  <si>
    <t>单通道/双通道</t>
    <phoneticPr fontId="1" type="noConversion"/>
  </si>
  <si>
    <t>单通道</t>
  </si>
  <si>
    <t>Headroom（Volt）</t>
    <phoneticPr fontId="1" type="noConversion"/>
  </si>
  <si>
    <t>总压降（Volt）</t>
    <phoneticPr fontId="1" type="noConversion"/>
  </si>
  <si>
    <t>选型推荐</t>
    <phoneticPr fontId="1" type="noConversion"/>
  </si>
  <si>
    <t>电压裕量（mV）</t>
    <phoneticPr fontId="1" type="noConversion"/>
  </si>
  <si>
    <t>用户样机</t>
    <phoneticPr fontId="1" type="noConversion"/>
  </si>
  <si>
    <t>I_LED(mA)</t>
    <phoneticPr fontId="1" type="noConversion"/>
  </si>
  <si>
    <t>VF(Volt)</t>
    <phoneticPr fontId="1" type="noConversion"/>
  </si>
  <si>
    <t>Tpy</t>
    <phoneticPr fontId="1" type="noConversion"/>
  </si>
  <si>
    <t>Max</t>
    <phoneticPr fontId="1" type="noConversion"/>
  </si>
  <si>
    <t>聚飞01.JX.EB2218G52N01(单绿灯）</t>
    <phoneticPr fontId="1" type="noConversion"/>
  </si>
  <si>
    <t>聚飞01.JX.EB1816D94N02（3合1）</t>
    <phoneticPr fontId="1" type="noConversion"/>
  </si>
  <si>
    <t>VF(Volt)-Green</t>
    <phoneticPr fontId="1" type="noConversion"/>
  </si>
  <si>
    <t>LED选型评估表</t>
    <phoneticPr fontId="1" type="noConversion"/>
  </si>
  <si>
    <t>VLED供电电压（Volt)
MIN</t>
    <phoneticPr fontId="1" type="noConversion"/>
  </si>
  <si>
    <t>Magellan3为Goodix内部样机，CTR为样机实测数据，I_LED是保证性能的最小电流</t>
    <phoneticPr fontId="1" type="noConversion"/>
  </si>
  <si>
    <t>芯片内部总压降（Volt）
MAX</t>
    <phoneticPr fontId="1" type="noConversion"/>
  </si>
  <si>
    <t>绿灯-VF压降（Volt）
MAX</t>
    <phoneticPr fontId="1" type="noConversion"/>
  </si>
  <si>
    <t>nA/mA</t>
    <phoneticPr fontId="1" type="noConversion"/>
  </si>
  <si>
    <t>LEDA&amp;B选用</t>
    <phoneticPr fontId="1" type="noConversion"/>
  </si>
  <si>
    <t>I_LED (mA)
MAX</t>
    <phoneticPr fontId="1" type="noConversion"/>
  </si>
  <si>
    <t>-</t>
    <phoneticPr fontId="1" type="noConversion"/>
  </si>
  <si>
    <t>客户根据光路设计与仿真得到CTR大小，根据仿真CTR得到保证性能的I_LED最小极限电流</t>
    <phoneticPr fontId="1" type="noConversion"/>
  </si>
  <si>
    <t>选用</t>
  </si>
  <si>
    <t>说明：
1、芯片型号、LED Driver的单双通道驱动需要用户根据实际用用填写；
2、VLED供电电压：需要填写最低供电电压（电池供电填写关机电池电压，DCDC/LDO供电填写最低供电电压。
3、I_LED数据需要根据客户需求进行填写。</t>
    <phoneticPr fontId="1" type="noConversion"/>
  </si>
  <si>
    <r>
      <rPr>
        <b/>
        <sz val="11"/>
        <color rgb="FFFF0000"/>
        <rFont val="等线"/>
        <family val="3"/>
        <charset val="134"/>
        <scheme val="minor"/>
      </rPr>
      <t>使用说明：</t>
    </r>
    <r>
      <rPr>
        <sz val="11"/>
        <color theme="1"/>
        <rFont val="等线"/>
        <family val="2"/>
        <charset val="134"/>
        <scheme val="minor"/>
      </rPr>
      <t xml:space="preserve">
1、芯片型号：用户根据。
2、VLED供电电压：需要填写最低供电电压（电池供电填写关机电池电压，DCDC/LDO供电填写最低供电电压）。
3、单通道：LED由1个Driver单独驱动。
4、双通道：LED由2个Driver并联驱动。
5、I_LED (mA)MAX：通过Efuse信息校准后的电流大小。
6、LEDA&amp;B选用：电路设计时是否选用了芯片内部HSSW电路（GH3038芯片内部无HSSW电路）。
7、VF压降：LED点亮时的量产最大压降。</t>
    </r>
    <phoneticPr fontId="1" type="noConversion"/>
  </si>
  <si>
    <t>CTR (nA/mA)
黄肤色人群</t>
    <phoneticPr fontId="1" type="noConversion"/>
  </si>
  <si>
    <t>聚飞01.JX.EB1816D94N03（3合1-独立阳极）</t>
    <phoneticPr fontId="1" type="noConversion"/>
  </si>
  <si>
    <t>GH3036</t>
  </si>
  <si>
    <t>双通道</t>
  </si>
  <si>
    <t>不选用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</si>
</sst>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00"/>
    <numFmt numFmtId="177" formatCode="0.000_ "/>
    <numFmt numFmtId="178" formatCode="0.0"/>
  </numFmts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76" fontId="0" fillId="2" borderId="1" xfId="0" applyNumberFormat="1" applyFill="1" applyBorder="1" applyAlignment="1">
      <alignment horizontal="center" vertical="center" wrapText="1"/>
    </xf>
    <xf numFmtId="177" fontId="0" fillId="2" borderId="1" xfId="0" applyNumberFormat="1" applyFill="1" applyBorder="1" applyAlignment="1">
      <alignment horizontal="center" vertical="center" wrapText="1"/>
    </xf>
    <xf numFmtId="2" fontId="0" fillId="2" borderId="1" xfId="0" applyNumberFormat="1" applyFill="1" applyBorder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 wrapText="1"/>
    </xf>
    <xf numFmtId="178" fontId="0" fillId="2" borderId="1" xfId="0" applyNumberForma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K8"/>
  <sheetViews>
    <sheetView workbookViewId="0">
      <selection activeCell="C3" sqref="C3:K6"/>
    </sheetView>
  </sheetViews>
  <sheetFormatPr defaultRowHeight="14.25" x14ac:dyDescent="0.2"/>
  <cols>
    <col min="1" max="2" width="9" style="1"/>
    <col min="3" max="3" width="14.875" style="1" customWidth="1"/>
    <col min="4" max="4" width="23.125" style="1" customWidth="1"/>
    <col min="5" max="5" width="18" style="1" customWidth="1"/>
    <col min="6" max="7" width="14.5" style="1" customWidth="1"/>
    <col min="8" max="8" width="25.25" style="1" customWidth="1"/>
    <col min="9" max="9" width="20.375" style="1" customWidth="1"/>
    <col min="10" max="10" width="21.75" style="1" customWidth="1"/>
    <col min="11" max="11" width="20.375" style="1" customWidth="1"/>
    <col min="12" max="16384" width="9" style="1"/>
  </cols>
  <sheetData>
    <row r="3" spans="3:11" ht="15.75" x14ac:dyDescent="0.2">
      <c r="C3" s="18" t="s">
        <v>34</v>
      </c>
      <c r="D3" s="18"/>
      <c r="E3" s="18"/>
      <c r="F3" s="18"/>
      <c r="G3" s="18"/>
      <c r="H3" s="18"/>
      <c r="I3" s="18"/>
      <c r="J3" s="18"/>
      <c r="K3" s="18"/>
    </row>
    <row r="4" spans="3:11" ht="31.5" x14ac:dyDescent="0.2">
      <c r="C4" s="3" t="s">
        <v>17</v>
      </c>
      <c r="D4" s="14" t="s">
        <v>35</v>
      </c>
      <c r="E4" s="3" t="s">
        <v>20</v>
      </c>
      <c r="F4" s="14" t="s">
        <v>41</v>
      </c>
      <c r="G4" s="3" t="s">
        <v>40</v>
      </c>
      <c r="H4" s="14" t="s">
        <v>37</v>
      </c>
      <c r="I4" s="14" t="s">
        <v>38</v>
      </c>
      <c r="J4" s="3" t="s">
        <v>25</v>
      </c>
      <c r="K4" s="11" t="s">
        <v>24</v>
      </c>
    </row>
    <row r="5" spans="3:11" ht="35.25" customHeight="1" x14ac:dyDescent="0.2">
      <c r="C5" s="2" t="s">
        <v>49</v>
      </c>
      <c r="D5" s="2">
        <v>3.5</v>
      </c>
      <c r="E5" s="2" t="s">
        <v>50</v>
      </c>
      <c r="F5" s="2">
        <v>160</v>
      </c>
      <c r="G5" s="2" t="s">
        <v>51</v>
      </c>
      <c r="H5" s="6">
        <f>IF(   C5="GH3036",  IF(  D5="客户填写",    "-", IF(G5="选用",  F5*(1/(0.1674*D5+0.6611))/1000 + IF(E5="单通道", F5*0.0013+0.2537,  IF(E5="双通道", F5*0.0008+0.2509, "-")),  IF(E5="单通道", F5*0.0013+0.2537, IF(E5="双通道", F5*0.0008+0.2509, "-")) )  ),
        IF( C5="GH3038",   IF(E5="单通道", F5*0.0013+0.2537,IF(E5="双通道", F5*0.0008+0.2509, "-")),  "-"        ))</f>
        <v>0.37890000000000001</v>
      </c>
      <c r="I5" s="9">
        <v>2.97</v>
      </c>
      <c r="J5" s="10">
        <f>IF(OR(C5="用户填写",D5="用户填写",E5="用户填写"),"-",(D5-I5-H5)*1000)</f>
        <v>151.0999999999998</v>
      </c>
      <c r="K5" s="5" t="str">
        <f>IF(J5="-","-",IF(J5&gt;=80,"推荐","不推荐"))</f>
        <v>推荐</v>
      </c>
    </row>
    <row r="6" spans="3:11" ht="129" customHeight="1" x14ac:dyDescent="0.2">
      <c r="C6" s="16" t="s">
        <v>46</v>
      </c>
      <c r="D6" s="17"/>
      <c r="E6" s="17"/>
      <c r="F6" s="17"/>
      <c r="G6" s="17"/>
      <c r="H6" s="17"/>
      <c r="I6" s="17"/>
      <c r="J6" s="17"/>
      <c r="K6" s="17"/>
    </row>
    <row r="7" spans="3:11" ht="15" customHeight="1" x14ac:dyDescent="0.2"/>
    <row r="8" spans="3:11" ht="15" customHeight="1" x14ac:dyDescent="0.2"/>
  </sheetData>
  <mergeCells count="2">
    <mergeCell ref="C6:K6"/>
    <mergeCell ref="C3:K3"/>
  </mergeCells>
  <phoneticPr fontId="1" type="noConversion"/>
  <dataValidations count="3">
    <dataValidation type="list" allowBlank="1" showInputMessage="1" showErrorMessage="1" sqref="E5">
      <formula1>"单通道,双通道"</formula1>
    </dataValidation>
    <dataValidation type="list" allowBlank="1" showInputMessage="1" showErrorMessage="1" sqref="C5">
      <formula1>"用户填写,GH3036,GH3038"</formula1>
    </dataValidation>
    <dataValidation type="list" allowBlank="1" showInputMessage="1" showErrorMessage="1" sqref="G5">
      <formula1>"选用,不选用"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12"/>
  <sheetViews>
    <sheetView workbookViewId="0">
      <selection activeCell="E5" sqref="E5"/>
    </sheetView>
  </sheetViews>
  <sheetFormatPr defaultRowHeight="14.25" x14ac:dyDescent="0.2"/>
  <cols>
    <col min="1" max="2" width="9" style="1"/>
    <col min="3" max="3" width="14.875" style="1" customWidth="1"/>
    <col min="4" max="4" width="25.375" style="1" bestFit="1" customWidth="1"/>
    <col min="5" max="5" width="12.25" style="1" bestFit="1" customWidth="1"/>
    <col min="6" max="6" width="7.25" style="1" customWidth="1"/>
    <col min="7" max="9" width="9" style="1"/>
    <col min="10" max="10" width="57.875" style="1" bestFit="1" customWidth="1"/>
    <col min="11" max="16384" width="9" style="1"/>
  </cols>
  <sheetData>
    <row r="3" spans="3:10" ht="15.75" x14ac:dyDescent="0.2">
      <c r="C3" s="18" t="s">
        <v>15</v>
      </c>
      <c r="D3" s="18"/>
      <c r="E3" s="18"/>
      <c r="F3" s="18"/>
      <c r="G3" s="18"/>
      <c r="H3" s="18"/>
      <c r="I3" s="18"/>
      <c r="J3" s="18"/>
    </row>
    <row r="4" spans="3:10" ht="31.5" x14ac:dyDescent="0.2">
      <c r="C4" s="3" t="s">
        <v>6</v>
      </c>
      <c r="D4" s="14" t="s">
        <v>47</v>
      </c>
      <c r="E4" s="3" t="s">
        <v>8</v>
      </c>
      <c r="F4" s="18" t="s">
        <v>1</v>
      </c>
      <c r="G4" s="18"/>
      <c r="H4" s="18"/>
      <c r="I4" s="18"/>
      <c r="J4" s="18"/>
    </row>
    <row r="5" spans="3:10" ht="27" customHeight="1" x14ac:dyDescent="0.2">
      <c r="C5" s="2" t="s">
        <v>7</v>
      </c>
      <c r="D5" s="15">
        <v>59.3</v>
      </c>
      <c r="E5" s="15">
        <v>100</v>
      </c>
      <c r="F5" s="19" t="s">
        <v>36</v>
      </c>
      <c r="G5" s="19"/>
      <c r="H5" s="19"/>
      <c r="I5" s="19"/>
      <c r="J5" s="19"/>
    </row>
    <row r="6" spans="3:10" ht="23.25" customHeight="1" x14ac:dyDescent="0.2">
      <c r="C6" s="2" t="s">
        <v>26</v>
      </c>
      <c r="D6" s="2">
        <v>67.400000000000006</v>
      </c>
      <c r="E6" s="7">
        <f>IF(D6="用户填写","-",D5/D6*E5)</f>
        <v>87.982195845697319</v>
      </c>
      <c r="F6" s="19" t="s">
        <v>43</v>
      </c>
      <c r="G6" s="19"/>
      <c r="H6" s="19"/>
      <c r="I6" s="19"/>
      <c r="J6" s="19"/>
    </row>
    <row r="7" spans="3:10" ht="9.75" customHeight="1" x14ac:dyDescent="0.2"/>
    <row r="8" spans="3:10" ht="8.25" customHeight="1" x14ac:dyDescent="0.2"/>
    <row r="9" spans="3:10" ht="15.75" x14ac:dyDescent="0.2">
      <c r="C9" s="18" t="s">
        <v>12</v>
      </c>
      <c r="D9" s="18"/>
      <c r="E9" s="18"/>
      <c r="F9" s="18"/>
      <c r="G9" s="18"/>
      <c r="H9" s="18"/>
      <c r="I9" s="18"/>
      <c r="J9" s="18"/>
    </row>
    <row r="10" spans="3:10" ht="15.75" x14ac:dyDescent="0.2">
      <c r="C10" s="3" t="s">
        <v>3</v>
      </c>
      <c r="D10" s="3" t="s">
        <v>4</v>
      </c>
      <c r="E10" s="3" t="s">
        <v>0</v>
      </c>
      <c r="F10" s="18" t="s">
        <v>11</v>
      </c>
      <c r="G10" s="18"/>
      <c r="H10" s="18"/>
      <c r="I10" s="18"/>
      <c r="J10" s="18"/>
    </row>
    <row r="11" spans="3:10" ht="16.5" customHeight="1" x14ac:dyDescent="0.2">
      <c r="C11" s="2" t="s">
        <v>13</v>
      </c>
      <c r="D11" s="2" t="s">
        <v>9</v>
      </c>
      <c r="E11" s="2" t="s">
        <v>39</v>
      </c>
      <c r="F11" s="19" t="s">
        <v>14</v>
      </c>
      <c r="G11" s="19"/>
      <c r="H11" s="19"/>
      <c r="I11" s="19"/>
      <c r="J11" s="19"/>
    </row>
    <row r="12" spans="3:10" ht="18.75" customHeight="1" x14ac:dyDescent="0.2">
      <c r="C12" s="2" t="s">
        <v>10</v>
      </c>
      <c r="D12" s="2" t="s">
        <v>5</v>
      </c>
      <c r="E12" s="2" t="s">
        <v>2</v>
      </c>
      <c r="F12" s="19" t="s">
        <v>42</v>
      </c>
      <c r="G12" s="19"/>
      <c r="H12" s="19"/>
      <c r="I12" s="19"/>
      <c r="J12" s="19"/>
    </row>
  </sheetData>
  <mergeCells count="8">
    <mergeCell ref="F10:J10"/>
    <mergeCell ref="F11:J11"/>
    <mergeCell ref="F12:J12"/>
    <mergeCell ref="C3:J3"/>
    <mergeCell ref="C9:J9"/>
    <mergeCell ref="F4:J4"/>
    <mergeCell ref="F5:J5"/>
    <mergeCell ref="F6:J6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12"/>
  <sheetViews>
    <sheetView tabSelected="1" workbookViewId="0">
      <selection activeCell="G11" sqref="G11"/>
    </sheetView>
  </sheetViews>
  <sheetFormatPr defaultRowHeight="14.25" x14ac:dyDescent="0.2"/>
  <cols>
    <col min="1" max="2" width="9" style="1"/>
    <col min="3" max="3" width="14.875" style="1" customWidth="1"/>
    <col min="4" max="4" width="25.375" style="1" bestFit="1" customWidth="1"/>
    <col min="5" max="5" width="20" style="1" customWidth="1"/>
    <col min="6" max="7" width="16.125" style="1" customWidth="1"/>
    <col min="8" max="8" width="25.625" style="1" customWidth="1"/>
    <col min="9" max="9" width="20.375" style="1" customWidth="1"/>
    <col min="10" max="10" width="20.625" style="1" customWidth="1"/>
    <col min="11" max="16384" width="9" style="1"/>
  </cols>
  <sheetData>
    <row r="3" spans="3:10" ht="15.75" x14ac:dyDescent="0.2">
      <c r="C3" s="21" t="s">
        <v>16</v>
      </c>
      <c r="D3" s="22"/>
      <c r="E3" s="22"/>
      <c r="F3" s="22"/>
      <c r="G3" s="22"/>
      <c r="H3" s="22"/>
      <c r="I3" s="22"/>
      <c r="J3" s="23"/>
    </row>
    <row r="4" spans="3:10" ht="15.75" x14ac:dyDescent="0.2">
      <c r="C4" s="3" t="s">
        <v>17</v>
      </c>
      <c r="D4" s="3" t="s">
        <v>18</v>
      </c>
      <c r="E4" s="3" t="s">
        <v>20</v>
      </c>
      <c r="F4" s="3" t="s">
        <v>8</v>
      </c>
      <c r="G4" s="12" t="s">
        <v>40</v>
      </c>
      <c r="H4" s="3" t="s">
        <v>19</v>
      </c>
      <c r="I4" s="3" t="s">
        <v>22</v>
      </c>
      <c r="J4" s="3" t="s">
        <v>23</v>
      </c>
    </row>
    <row r="5" spans="3:10" ht="35.25" customHeight="1" x14ac:dyDescent="0.2">
      <c r="C5" s="2" t="s">
        <v>49</v>
      </c>
      <c r="D5" s="2">
        <v>3.5</v>
      </c>
      <c r="E5" s="2" t="s">
        <v>21</v>
      </c>
      <c r="F5" s="2">
        <v>160</v>
      </c>
      <c r="G5" s="2" t="s">
        <v>44</v>
      </c>
      <c r="H5" s="8">
        <f>IF(OR(C5="用户填写", D5="用户填写", C5="", D5=""), "-",
   IF(C5="GH3038", "-",
      IF(C5="GH3036",
         IF(G5="选用", F5*(1/(0.1674*D5+0.6611))/1000, "-"),
         F5*(1/(0.1674*D5+0.6611))/1000)
   )
)</f>
        <v>0.12830793905372898</v>
      </c>
      <c r="I5" s="5">
        <f>IF(OR(E5="用户填写", F5="用户填写", AND(OR(E5="单通道", E5="双通道"), TRIM(F5)="")),    "-",    IF(E5="单通道", F5*0.0013+0.2537,        IF(E5="双通道", F5*0.0008+0.2509, "-")    ))</f>
        <v>0.4617</v>
      </c>
      <c r="J5" s="6">
        <f>IF(OR(C5="用户填写",E5="用户填写"),"-",IF(C5="GH3036",H5+I5,IF(C5="GH3038",I5,"-")))</f>
        <v>0.59000793905372895</v>
      </c>
    </row>
    <row r="6" spans="3:10" ht="69.75" customHeight="1" x14ac:dyDescent="0.2">
      <c r="C6" s="17" t="s">
        <v>45</v>
      </c>
      <c r="D6" s="20"/>
      <c r="E6" s="20"/>
      <c r="F6" s="20"/>
      <c r="G6" s="20"/>
      <c r="H6" s="20"/>
      <c r="I6" s="20"/>
      <c r="J6" s="20"/>
    </row>
    <row r="7" spans="3:10" ht="15" customHeight="1" x14ac:dyDescent="0.2"/>
    <row r="8" spans="3:10" ht="15" customHeight="1" x14ac:dyDescent="0.2"/>
    <row r="11" spans="3:10" ht="33.75" customHeight="1" x14ac:dyDescent="0.2"/>
    <row r="12" spans="3:10" ht="18.75" customHeight="1" x14ac:dyDescent="0.2"/>
  </sheetData>
  <mergeCells count="2">
    <mergeCell ref="C6:J6"/>
    <mergeCell ref="C3:J3"/>
  </mergeCells>
  <phoneticPr fontId="1" type="noConversion"/>
  <dataValidations count="3">
    <dataValidation type="list" allowBlank="1" showInputMessage="1" showErrorMessage="1" sqref="C5">
      <formula1>"用户填写,GH3036,GH3038"</formula1>
    </dataValidation>
    <dataValidation type="list" allowBlank="1" showInputMessage="1" showErrorMessage="1" sqref="E5">
      <formula1>"单通道,双通道"</formula1>
    </dataValidation>
    <dataValidation type="list" allowBlank="1" showInputMessage="1" showErrorMessage="1" sqref="G5">
      <formula1>"选用,不选用"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K24"/>
  <sheetViews>
    <sheetView workbookViewId="0">
      <selection activeCell="F30" sqref="F30"/>
    </sheetView>
  </sheetViews>
  <sheetFormatPr defaultRowHeight="14.25" x14ac:dyDescent="0.2"/>
  <cols>
    <col min="1" max="2" width="9" style="1"/>
    <col min="3" max="11" width="14.875" style="1" customWidth="1"/>
    <col min="12" max="15" width="12.5" style="1" customWidth="1"/>
    <col min="16" max="16384" width="9" style="1"/>
  </cols>
  <sheetData>
    <row r="2" spans="3:11" ht="15.75" x14ac:dyDescent="0.2">
      <c r="C2" s="18" t="s">
        <v>31</v>
      </c>
      <c r="D2" s="18"/>
      <c r="E2" s="18"/>
      <c r="F2" s="18" t="s">
        <v>32</v>
      </c>
      <c r="G2" s="18"/>
      <c r="H2" s="18"/>
      <c r="I2" s="18" t="s">
        <v>48</v>
      </c>
      <c r="J2" s="18"/>
      <c r="K2" s="18"/>
    </row>
    <row r="3" spans="3:11" ht="15.75" x14ac:dyDescent="0.2">
      <c r="C3" s="24" t="s">
        <v>27</v>
      </c>
      <c r="D3" s="18" t="s">
        <v>28</v>
      </c>
      <c r="E3" s="18"/>
      <c r="F3" s="24" t="s">
        <v>27</v>
      </c>
      <c r="G3" s="18" t="s">
        <v>33</v>
      </c>
      <c r="H3" s="18"/>
      <c r="I3" s="24" t="s">
        <v>27</v>
      </c>
      <c r="J3" s="18" t="s">
        <v>33</v>
      </c>
      <c r="K3" s="18"/>
    </row>
    <row r="4" spans="3:11" ht="15.75" x14ac:dyDescent="0.2">
      <c r="C4" s="25"/>
      <c r="D4" s="3" t="s">
        <v>29</v>
      </c>
      <c r="E4" s="3" t="s">
        <v>30</v>
      </c>
      <c r="F4" s="25"/>
      <c r="G4" s="3" t="s">
        <v>29</v>
      </c>
      <c r="H4" s="3" t="s">
        <v>30</v>
      </c>
      <c r="I4" s="25"/>
      <c r="J4" s="12" t="s">
        <v>29</v>
      </c>
      <c r="K4" s="12" t="s">
        <v>30</v>
      </c>
    </row>
    <row r="5" spans="3:11" x14ac:dyDescent="0.2">
      <c r="C5" s="2">
        <v>10</v>
      </c>
      <c r="D5" s="7">
        <v>2.2799999999999998</v>
      </c>
      <c r="E5" s="2">
        <v>2.44</v>
      </c>
      <c r="F5" s="2">
        <v>10</v>
      </c>
      <c r="G5" s="7">
        <v>2.29</v>
      </c>
      <c r="H5" s="2">
        <v>2.4900000000000002</v>
      </c>
      <c r="I5" s="2">
        <v>10</v>
      </c>
      <c r="J5" s="7">
        <v>2.29</v>
      </c>
      <c r="K5" s="2">
        <v>2.4900000000000002</v>
      </c>
    </row>
    <row r="6" spans="3:11" x14ac:dyDescent="0.2">
      <c r="C6" s="4">
        <v>20</v>
      </c>
      <c r="D6" s="7">
        <v>2.34</v>
      </c>
      <c r="E6" s="7">
        <v>2.5</v>
      </c>
      <c r="F6" s="4">
        <v>20</v>
      </c>
      <c r="G6" s="7">
        <v>2.35</v>
      </c>
      <c r="H6" s="7">
        <v>2.5499999999999998</v>
      </c>
      <c r="I6" s="13">
        <v>20</v>
      </c>
      <c r="J6" s="7">
        <v>2.35</v>
      </c>
      <c r="K6" s="7">
        <v>2.5499999999999998</v>
      </c>
    </row>
    <row r="7" spans="3:11" ht="15" customHeight="1" x14ac:dyDescent="0.2">
      <c r="C7" s="2">
        <v>30</v>
      </c>
      <c r="D7" s="7">
        <v>2.4</v>
      </c>
      <c r="E7" s="7">
        <v>2.56</v>
      </c>
      <c r="F7" s="2">
        <v>30</v>
      </c>
      <c r="G7" s="7">
        <v>2.4</v>
      </c>
      <c r="H7" s="7">
        <v>2.6</v>
      </c>
      <c r="I7" s="2">
        <v>30</v>
      </c>
      <c r="J7" s="7">
        <v>2.4</v>
      </c>
      <c r="K7" s="7">
        <v>2.6</v>
      </c>
    </row>
    <row r="8" spans="3:11" ht="15" customHeight="1" x14ac:dyDescent="0.2">
      <c r="C8" s="4">
        <v>40</v>
      </c>
      <c r="D8" s="7">
        <v>2.44</v>
      </c>
      <c r="E8" s="7">
        <v>2.61</v>
      </c>
      <c r="F8" s="4">
        <v>40</v>
      </c>
      <c r="G8" s="7">
        <v>2.44</v>
      </c>
      <c r="H8" s="7">
        <v>2.65</v>
      </c>
      <c r="I8" s="13">
        <v>40</v>
      </c>
      <c r="J8" s="7">
        <v>2.44</v>
      </c>
      <c r="K8" s="7">
        <v>2.65</v>
      </c>
    </row>
    <row r="9" spans="3:11" x14ac:dyDescent="0.2">
      <c r="C9" s="2">
        <v>50</v>
      </c>
      <c r="D9" s="7">
        <v>2.48</v>
      </c>
      <c r="E9" s="7">
        <v>2.65</v>
      </c>
      <c r="F9" s="2">
        <v>50</v>
      </c>
      <c r="G9" s="7">
        <v>2.48</v>
      </c>
      <c r="H9" s="7">
        <v>2.69</v>
      </c>
      <c r="I9" s="2">
        <v>50</v>
      </c>
      <c r="J9" s="7">
        <v>2.48</v>
      </c>
      <c r="K9" s="7">
        <v>2.69</v>
      </c>
    </row>
    <row r="10" spans="3:11" x14ac:dyDescent="0.2">
      <c r="C10" s="4">
        <v>60</v>
      </c>
      <c r="D10" s="7">
        <v>2.52</v>
      </c>
      <c r="E10" s="7">
        <v>2.69</v>
      </c>
      <c r="F10" s="4">
        <v>60</v>
      </c>
      <c r="G10" s="7">
        <v>2.5099999999999998</v>
      </c>
      <c r="H10" s="7">
        <v>2.73</v>
      </c>
      <c r="I10" s="13">
        <v>60</v>
      </c>
      <c r="J10" s="7">
        <v>2.5099999999999998</v>
      </c>
      <c r="K10" s="7">
        <v>2.73</v>
      </c>
    </row>
    <row r="11" spans="3:11" x14ac:dyDescent="0.2">
      <c r="C11" s="2">
        <v>70</v>
      </c>
      <c r="D11" s="7">
        <v>2.5499999999999998</v>
      </c>
      <c r="E11" s="7">
        <v>2.72</v>
      </c>
      <c r="F11" s="2">
        <v>70</v>
      </c>
      <c r="G11" s="7">
        <v>2.5499999999999998</v>
      </c>
      <c r="H11" s="7">
        <v>2.76</v>
      </c>
      <c r="I11" s="2">
        <v>70</v>
      </c>
      <c r="J11" s="7">
        <v>2.5499999999999998</v>
      </c>
      <c r="K11" s="7">
        <v>2.76</v>
      </c>
    </row>
    <row r="12" spans="3:11" x14ac:dyDescent="0.2">
      <c r="C12" s="4">
        <v>80</v>
      </c>
      <c r="D12" s="7">
        <v>2.58</v>
      </c>
      <c r="E12" s="7">
        <v>2.76</v>
      </c>
      <c r="F12" s="4">
        <v>80</v>
      </c>
      <c r="G12" s="7">
        <v>2.58</v>
      </c>
      <c r="H12" s="7">
        <v>2.79</v>
      </c>
      <c r="I12" s="13">
        <v>80</v>
      </c>
      <c r="J12" s="7">
        <v>2.58</v>
      </c>
      <c r="K12" s="7">
        <v>2.79</v>
      </c>
    </row>
    <row r="13" spans="3:11" x14ac:dyDescent="0.2">
      <c r="C13" s="2">
        <v>90</v>
      </c>
      <c r="D13" s="7">
        <v>2.61</v>
      </c>
      <c r="E13" s="7">
        <v>2.79</v>
      </c>
      <c r="F13" s="2">
        <v>90</v>
      </c>
      <c r="G13" s="7">
        <v>2.6</v>
      </c>
      <c r="H13" s="7">
        <v>2.83</v>
      </c>
      <c r="I13" s="2">
        <v>90</v>
      </c>
      <c r="J13" s="7">
        <v>2.6</v>
      </c>
      <c r="K13" s="7">
        <v>2.83</v>
      </c>
    </row>
    <row r="14" spans="3:11" x14ac:dyDescent="0.2">
      <c r="C14" s="4">
        <v>100</v>
      </c>
      <c r="D14" s="7">
        <v>2.64</v>
      </c>
      <c r="E14" s="7">
        <v>2.82</v>
      </c>
      <c r="F14" s="4">
        <v>100</v>
      </c>
      <c r="G14" s="7">
        <v>2.63</v>
      </c>
      <c r="H14" s="7">
        <v>2.85</v>
      </c>
      <c r="I14" s="13">
        <v>100</v>
      </c>
      <c r="J14" s="7">
        <v>2.63</v>
      </c>
      <c r="K14" s="7">
        <v>2.85</v>
      </c>
    </row>
    <row r="15" spans="3:11" x14ac:dyDescent="0.2">
      <c r="C15" s="2">
        <v>110</v>
      </c>
      <c r="D15" s="7">
        <v>2.66</v>
      </c>
      <c r="E15" s="7">
        <v>2.84</v>
      </c>
      <c r="F15" s="2">
        <v>110</v>
      </c>
      <c r="G15" s="7">
        <v>2.66</v>
      </c>
      <c r="H15" s="7">
        <v>2.88</v>
      </c>
      <c r="I15" s="2">
        <v>110</v>
      </c>
      <c r="J15" s="7">
        <v>2.66</v>
      </c>
      <c r="K15" s="7">
        <v>2.88</v>
      </c>
    </row>
    <row r="16" spans="3:11" x14ac:dyDescent="0.2">
      <c r="C16" s="4">
        <v>120</v>
      </c>
      <c r="D16" s="7">
        <v>2.69</v>
      </c>
      <c r="E16" s="7">
        <v>2.87</v>
      </c>
      <c r="F16" s="4">
        <v>120</v>
      </c>
      <c r="G16" s="7">
        <v>2.68</v>
      </c>
      <c r="H16" s="7">
        <v>2.91</v>
      </c>
      <c r="I16" s="13">
        <v>120</v>
      </c>
      <c r="J16" s="7">
        <v>2.68</v>
      </c>
      <c r="K16" s="7">
        <v>2.91</v>
      </c>
    </row>
    <row r="17" spans="3:11" x14ac:dyDescent="0.2">
      <c r="C17" s="2">
        <v>130</v>
      </c>
      <c r="D17" s="7">
        <v>2.71</v>
      </c>
      <c r="E17" s="7">
        <v>2.9</v>
      </c>
      <c r="F17" s="2">
        <v>130</v>
      </c>
      <c r="G17" s="7">
        <v>2.71</v>
      </c>
      <c r="H17" s="7">
        <v>2.94</v>
      </c>
      <c r="I17" s="2">
        <v>130</v>
      </c>
      <c r="J17" s="7">
        <v>2.71</v>
      </c>
      <c r="K17" s="7">
        <v>2.94</v>
      </c>
    </row>
    <row r="18" spans="3:11" x14ac:dyDescent="0.2">
      <c r="C18" s="4">
        <v>140</v>
      </c>
      <c r="D18" s="7">
        <v>2.74</v>
      </c>
      <c r="E18" s="7">
        <v>2.93</v>
      </c>
      <c r="F18" s="4">
        <v>140</v>
      </c>
      <c r="G18" s="7">
        <v>2.73</v>
      </c>
      <c r="H18" s="7">
        <v>2.96</v>
      </c>
      <c r="I18" s="13">
        <v>140</v>
      </c>
      <c r="J18" s="7">
        <v>2.73</v>
      </c>
      <c r="K18" s="7">
        <v>2.96</v>
      </c>
    </row>
    <row r="19" spans="3:11" x14ac:dyDescent="0.2">
      <c r="C19" s="2">
        <v>150</v>
      </c>
      <c r="D19" s="7">
        <v>2.76</v>
      </c>
      <c r="E19" s="7">
        <v>2.95</v>
      </c>
      <c r="F19" s="2">
        <v>150</v>
      </c>
      <c r="G19" s="7">
        <v>2.75</v>
      </c>
      <c r="H19" s="7">
        <v>2.99</v>
      </c>
      <c r="I19" s="2">
        <v>150</v>
      </c>
      <c r="J19" s="7">
        <v>2.75</v>
      </c>
      <c r="K19" s="7">
        <v>2.99</v>
      </c>
    </row>
    <row r="20" spans="3:11" x14ac:dyDescent="0.2">
      <c r="C20" s="4">
        <v>160</v>
      </c>
      <c r="D20" s="7">
        <v>2.78</v>
      </c>
      <c r="E20" s="7">
        <v>2.97</v>
      </c>
      <c r="F20" s="4">
        <v>160</v>
      </c>
      <c r="G20" s="7">
        <v>2.77</v>
      </c>
      <c r="H20" s="7">
        <v>3.01</v>
      </c>
      <c r="I20" s="13">
        <v>160</v>
      </c>
      <c r="J20" s="7">
        <v>2.77</v>
      </c>
      <c r="K20" s="7">
        <v>3.01</v>
      </c>
    </row>
    <row r="21" spans="3:11" x14ac:dyDescent="0.2">
      <c r="C21" s="2">
        <v>170</v>
      </c>
      <c r="D21" s="7">
        <v>2.8</v>
      </c>
      <c r="E21" s="7">
        <v>2.99</v>
      </c>
      <c r="F21" s="2">
        <v>170</v>
      </c>
      <c r="G21" s="7">
        <v>2.8</v>
      </c>
      <c r="H21" s="7">
        <v>3.04</v>
      </c>
      <c r="I21" s="2">
        <v>170</v>
      </c>
      <c r="J21" s="7">
        <v>2.8</v>
      </c>
      <c r="K21" s="7">
        <v>3.04</v>
      </c>
    </row>
    <row r="22" spans="3:11" x14ac:dyDescent="0.2">
      <c r="C22" s="4">
        <v>180</v>
      </c>
      <c r="D22" s="7">
        <v>2.82</v>
      </c>
      <c r="E22" s="7">
        <v>3.01</v>
      </c>
      <c r="F22" s="4">
        <v>180</v>
      </c>
      <c r="G22" s="7">
        <v>2.82</v>
      </c>
      <c r="H22" s="7">
        <v>3.06</v>
      </c>
      <c r="I22" s="13">
        <v>180</v>
      </c>
      <c r="J22" s="7">
        <v>2.82</v>
      </c>
      <c r="K22" s="7">
        <v>3.06</v>
      </c>
    </row>
    <row r="23" spans="3:11" x14ac:dyDescent="0.2">
      <c r="C23" s="2">
        <v>190</v>
      </c>
      <c r="D23" s="7">
        <v>2.84</v>
      </c>
      <c r="E23" s="7">
        <v>3.03</v>
      </c>
      <c r="F23" s="2">
        <v>190</v>
      </c>
      <c r="G23" s="7">
        <v>2.84</v>
      </c>
      <c r="H23" s="7">
        <v>3.08</v>
      </c>
      <c r="I23" s="2">
        <v>190</v>
      </c>
      <c r="J23" s="7">
        <v>2.84</v>
      </c>
      <c r="K23" s="7">
        <v>3.08</v>
      </c>
    </row>
    <row r="24" spans="3:11" x14ac:dyDescent="0.2">
      <c r="C24" s="4">
        <v>200</v>
      </c>
      <c r="D24" s="7">
        <v>2.86</v>
      </c>
      <c r="E24" s="7">
        <v>3.06</v>
      </c>
      <c r="F24" s="4">
        <v>200</v>
      </c>
      <c r="G24" s="7">
        <v>2.86</v>
      </c>
      <c r="H24" s="7">
        <v>3.1</v>
      </c>
      <c r="I24" s="13">
        <v>200</v>
      </c>
      <c r="J24" s="7">
        <v>2.86</v>
      </c>
      <c r="K24" s="7">
        <v>3.1</v>
      </c>
    </row>
  </sheetData>
  <mergeCells count="9">
    <mergeCell ref="I2:K2"/>
    <mergeCell ref="I3:I4"/>
    <mergeCell ref="J3:K3"/>
    <mergeCell ref="C3:C4"/>
    <mergeCell ref="F3:F4"/>
    <mergeCell ref="D3:E3"/>
    <mergeCell ref="C2:E2"/>
    <mergeCell ref="G3:H3"/>
    <mergeCell ref="F2:H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LED选型评估表</vt:lpstr>
      <vt:lpstr>CTR与I_LED自动核算</vt:lpstr>
      <vt:lpstr>芯片内部压降自动核算</vt:lpstr>
      <vt:lpstr>LED选型推荐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goodix</dc:creator>
  <cp:lastModifiedBy>Shengkun Zheng (郑盛坤)</cp:lastModifiedBy>
  <dcterms:created xsi:type="dcterms:W3CDTF">2025-10-24T02:54:08Z</dcterms:created>
  <dcterms:modified xsi:type="dcterms:W3CDTF">2025-12-17T06:37:51Z</dcterms:modified>
</cp:coreProperties>
</file>