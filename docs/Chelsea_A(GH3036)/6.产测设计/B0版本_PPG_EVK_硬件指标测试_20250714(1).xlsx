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8" windowHeight="12300"/>
  </bookViews>
  <sheets>
    <sheet name="Sheet" sheetId="10" r:id="rId1"/>
    <sheet name="PPG电流和Rawdata预估" sheetId="11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<sst xmlns="http://schemas.openxmlformats.org/spreadsheetml/2006/main" count="41" uniqueCount="38">
  <si>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No.</t>
  </si>
  <si>
    <t>Item</t>
  </si>
  <si>
    <t>Test Condiction</t>
  </si>
  <si>
    <t>Reference Value</t>
  </si>
  <si>
    <t>Test Procedure</t>
  </si>
  <si>
    <t>Zero Input Noise</t>
  </si>
  <si>
    <r>
      <rPr>
        <sz val="11"/>
        <rFont val="等线"/>
        <charset val="134"/>
        <scheme val="minor"/>
      </rPr>
      <t xml:space="preserve">Fs = 100Hz, Gain = </t>
    </r>
    <r>
      <rPr>
        <sz val="11"/>
        <color rgb="FFFF0000"/>
        <rFont val="等线"/>
        <charset val="134"/>
        <scheme val="minor"/>
      </rPr>
      <t>10kΩ</t>
    </r>
    <r>
      <rPr>
        <sz val="11"/>
        <rFont val="等线"/>
        <charset val="134"/>
        <scheme val="minor"/>
      </rPr>
      <t xml:space="preserve">, Tint = </t>
    </r>
    <r>
      <rPr>
        <sz val="11"/>
        <color rgb="FFFF0000"/>
        <rFont val="等线"/>
        <charset val="134"/>
        <scheme val="minor"/>
      </rPr>
      <t>316us</t>
    </r>
    <r>
      <rPr>
        <sz val="11"/>
        <rFont val="等线"/>
        <charset val="134"/>
        <scheme val="minor"/>
      </rPr>
      <t xml:space="preserve">, 0nd order BGR
</t>
    </r>
    <r>
      <rPr>
        <i/>
        <u/>
        <sz val="11"/>
        <color theme="1" tint="0.499984740745262"/>
        <rFont val="等线"/>
        <charset val="134"/>
        <scheme val="minor"/>
      </rPr>
      <t>1-1-100Hz-10kΩ-316us-BGR=0.config</t>
    </r>
    <r>
      <rPr>
        <i/>
        <sz val="11"/>
        <color theme="1" tint="0.499984740745262"/>
        <rFont val="等线"/>
        <charset val="134"/>
        <scheme val="minor"/>
      </rPr>
      <t xml:space="preserve">
Slot0 - dark data</t>
    </r>
  </si>
  <si>
    <t>≤7uVrms（PRD指标）</t>
  </si>
  <si>
    <r>
      <rPr>
        <sz val="11"/>
        <color theme="1"/>
        <rFont val="等线"/>
        <charset val="134"/>
        <scheme val="minor"/>
      </rPr>
      <t xml:space="preserve">1. 连接 EVK，进行遮光，使用对应测试条件的配置，开启采样后会自动保存 Rawdata 文件 PPG.csv；
</t>
    </r>
    <r>
      <rPr>
        <sz val="11"/>
        <color rgb="FF7030A0"/>
        <rFont val="等线"/>
        <charset val="134"/>
        <scheme val="minor"/>
      </rPr>
      <t>2. 采集稳定场景下的 Rawdata 90s，其中 Slot0 为 Zero Inuput 数据，去掉前 10s  数据；
3. 取剩余 80s 数据进行 0.5Hz 高通滤波去除基线后，取中间50s数据，计算标准差 (Std) ；</t>
    </r>
    <r>
      <rPr>
        <sz val="11"/>
        <color theme="1"/>
        <rFont val="等线"/>
        <charset val="134"/>
        <scheme val="minor"/>
      </rPr>
      <t xml:space="preserve">
4. 将以上 Std 结果带入公式：
    Noise = Std * 1800000uV / 2^23 (uVrms)</t>
    </r>
  </si>
  <si>
    <r>
      <rPr>
        <sz val="11"/>
        <rFont val="等线"/>
        <charset val="134"/>
        <scheme val="minor"/>
      </rPr>
      <t>Fs = 100Hz, Gain =</t>
    </r>
    <r>
      <rPr>
        <sz val="11"/>
        <color rgb="FFFF0000"/>
        <rFont val="等线"/>
        <charset val="134"/>
        <scheme val="minor"/>
      </rPr>
      <t xml:space="preserve"> 100kΩ</t>
    </r>
    <r>
      <rPr>
        <sz val="11"/>
        <rFont val="等线"/>
        <charset val="134"/>
        <scheme val="minor"/>
      </rPr>
      <t>, Tint =</t>
    </r>
    <r>
      <rPr>
        <sz val="11"/>
        <color rgb="FFFF0000"/>
        <rFont val="等线"/>
        <charset val="134"/>
        <scheme val="minor"/>
      </rPr>
      <t xml:space="preserve"> 158us</t>
    </r>
    <r>
      <rPr>
        <sz val="11"/>
        <rFont val="等线"/>
        <charset val="134"/>
        <scheme val="minor"/>
      </rPr>
      <t xml:space="preserve">,0nd order BGR
</t>
    </r>
    <r>
      <rPr>
        <i/>
        <u/>
        <sz val="11"/>
        <color theme="1" tint="0.499984740745262"/>
        <rFont val="等线"/>
        <charset val="134"/>
        <scheme val="minor"/>
      </rPr>
      <t>1-2-100Hz-100kΩ-158us-BGR=0.config</t>
    </r>
    <r>
      <rPr>
        <i/>
        <sz val="11"/>
        <color theme="1" tint="0.499984740745262"/>
        <rFont val="等线"/>
        <charset val="134"/>
        <scheme val="minor"/>
      </rPr>
      <t xml:space="preserve">
Slot0 - dark data</t>
    </r>
  </si>
  <si>
    <t>≤11uVrms（PRD指标）</t>
  </si>
  <si>
    <t xml:space="preserve"> SNR</t>
  </si>
  <si>
    <r>
      <rPr>
        <sz val="11"/>
        <rFont val="等线"/>
        <charset val="134"/>
        <scheme val="minor"/>
      </rPr>
      <t xml:space="preserve">Fs = 100Hz, Gain = </t>
    </r>
    <r>
      <rPr>
        <sz val="11"/>
        <color rgb="FFFF0000"/>
        <rFont val="等线"/>
        <charset val="134"/>
        <scheme val="minor"/>
      </rPr>
      <t>10kΩ</t>
    </r>
    <r>
      <rPr>
        <sz val="11"/>
        <rFont val="等线"/>
        <charset val="134"/>
        <scheme val="minor"/>
      </rPr>
      <t xml:space="preserve">, Tint = </t>
    </r>
    <r>
      <rPr>
        <sz val="11"/>
        <color rgb="FFFF0000"/>
        <rFont val="等线"/>
        <charset val="134"/>
        <scheme val="minor"/>
      </rPr>
      <t>316us</t>
    </r>
    <r>
      <rPr>
        <sz val="11"/>
        <rFont val="等线"/>
        <charset val="134"/>
        <scheme val="minor"/>
      </rPr>
      <t xml:space="preserve">, 1nd order BGR
Rawdata ∈ (4,194,304, 5,033,164)
</t>
    </r>
    <r>
      <rPr>
        <i/>
        <u/>
        <sz val="11"/>
        <color theme="1" tint="0.499984740745262"/>
        <rFont val="等线"/>
        <charset val="134"/>
        <scheme val="minor"/>
      </rPr>
      <t>2-1-100Hz-10kΩ-316us-BGR=1.config</t>
    </r>
    <r>
      <rPr>
        <i/>
        <sz val="11"/>
        <color theme="1" tint="0.499984740745262"/>
        <rFont val="等线"/>
        <charset val="134"/>
        <scheme val="minor"/>
      </rPr>
      <t xml:space="preserve">
Slot0 - Green LED data
Slot1- RED LED data
Slot2- IR LED data</t>
    </r>
  </si>
  <si>
    <t>≥94dB</t>
  </si>
  <si>
    <r>
      <rPr>
        <sz val="11"/>
        <color theme="1"/>
        <rFont val="等线"/>
        <charset val="134"/>
        <scheme val="minor"/>
      </rPr>
      <t xml:space="preserve">1. 连接 EVK，放置18%灰卡并进行遮光（固定光路），使用对应测试条件的配置，开启采样后会自动保存 Rawdata 文件 PPG.csv；
2. 调整配置中的 LED 电流使得 Rawdata 值在区间 (4,194,304, 5,033,164) 内，使得信号量落在 AFE 动态范围中间；
</t>
    </r>
    <r>
      <rPr>
        <sz val="11"/>
        <color rgb="FF7030A0"/>
        <rFont val="等线"/>
        <charset val="134"/>
        <scheme val="minor"/>
      </rPr>
      <t>3. 采集稳定场景下的 Rawdata 90s，其中 Slot1/Slot2/Slot3 分别对应 IR/Red/Green LED 数据，去掉前 10s 数据；
4. 取剩余 80s 数据进行 0.5Hz 高通滤波去除基线后，取中间50s数据，计算标准差 (Std)  ；取滤波器前中间段50s数据计算均值 (Avg)；</t>
    </r>
    <r>
      <rPr>
        <sz val="11"/>
        <color theme="1"/>
        <rFont val="等线"/>
        <charset val="134"/>
        <scheme val="minor"/>
      </rPr>
      <t xml:space="preserve">
5. 将以上结果带入公式：
    SNR = 20 * log10(Avg / Std) (dB)</t>
    </r>
  </si>
  <si>
    <r>
      <rPr>
        <sz val="11"/>
        <rFont val="等线"/>
        <charset val="134"/>
        <scheme val="minor"/>
      </rPr>
      <t xml:space="preserve">Fs =100Hz, Gain = </t>
    </r>
    <r>
      <rPr>
        <sz val="11"/>
        <color rgb="FFFF0000"/>
        <rFont val="等线"/>
        <charset val="134"/>
        <scheme val="minor"/>
      </rPr>
      <t>250kΩ</t>
    </r>
    <r>
      <rPr>
        <sz val="11"/>
        <rFont val="等线"/>
        <charset val="134"/>
        <scheme val="minor"/>
      </rPr>
      <t>, Tint =</t>
    </r>
    <r>
      <rPr>
        <sz val="11"/>
        <color rgb="FFFF0000"/>
        <rFont val="等线"/>
        <charset val="134"/>
        <scheme val="minor"/>
      </rPr>
      <t xml:space="preserve"> 79us,</t>
    </r>
    <r>
      <rPr>
        <sz val="11"/>
        <rFont val="等线"/>
        <charset val="134"/>
        <scheme val="minor"/>
      </rPr>
      <t xml:space="preserve"> 1nd order BGR
Rawdata ∈ (4,194,304, 5,033,164)
</t>
    </r>
    <r>
      <rPr>
        <i/>
        <u/>
        <sz val="11"/>
        <color theme="1" tint="0.499984740745262"/>
        <rFont val="等线"/>
        <charset val="134"/>
        <scheme val="minor"/>
      </rPr>
      <t>2-2-100Hz-250kΩ-79us-BGR=1config</t>
    </r>
    <r>
      <rPr>
        <i/>
        <sz val="11"/>
        <color theme="1" tint="0.499984740745262"/>
        <rFont val="等线"/>
        <charset val="134"/>
        <scheme val="minor"/>
      </rPr>
      <t xml:space="preserve">
Slot0 - Green LED data
Slot1- RED LED data
Slot2- IR LED data</t>
    </r>
  </si>
  <si>
    <t>≥87dB</t>
  </si>
  <si>
    <r>
      <rPr>
        <b/>
        <sz val="11"/>
        <color theme="1"/>
        <rFont val="等线"/>
        <charset val="134"/>
        <scheme val="minor"/>
      </rPr>
      <t>Ambient Light Rejection</t>
    </r>
  </si>
  <si>
    <r>
      <rPr>
        <sz val="11"/>
        <color theme="1"/>
        <rFont val="等线"/>
        <charset val="134"/>
        <scheme val="minor"/>
      </rPr>
      <t>Fs = 100Hz, Gain = 50kΩ, Tint =</t>
    </r>
    <r>
      <rPr>
        <sz val="11"/>
        <color rgb="FFFF0000"/>
        <rFont val="等线"/>
        <charset val="134"/>
        <scheme val="minor"/>
      </rPr>
      <t xml:space="preserve"> 39us, 1nd </t>
    </r>
    <r>
      <rPr>
        <sz val="11"/>
        <color theme="1"/>
        <rFont val="等线"/>
        <charset val="134"/>
        <scheme val="minor"/>
      </rPr>
      <t xml:space="preserve">order BGR
</t>
    </r>
    <r>
      <rPr>
        <i/>
        <u/>
        <sz val="11"/>
        <color theme="1"/>
        <rFont val="等线"/>
        <charset val="134"/>
        <scheme val="minor"/>
      </rPr>
      <t>配置：EVK BGR test</t>
    </r>
  </si>
  <si>
    <t>≥55dB</t>
  </si>
  <si>
    <r>
      <rPr>
        <sz val="11"/>
        <color theme="1"/>
        <rFont val="等线"/>
        <charset val="134"/>
        <scheme val="minor"/>
      </rPr>
      <t xml:space="preserve">1. 如图，外挂 LED 光源模拟环境光，使用 </t>
    </r>
    <r>
      <rPr>
        <sz val="11"/>
        <color rgb="FFFF0000"/>
        <rFont val="等线"/>
        <charset val="134"/>
        <scheme val="minor"/>
      </rPr>
      <t xml:space="preserve">4Hz </t>
    </r>
    <r>
      <rPr>
        <sz val="11"/>
        <color theme="1"/>
        <rFont val="等线"/>
        <charset val="134"/>
        <scheme val="minor"/>
      </rPr>
      <t>电流源驱动 LED 光源照向模组 PD，测试过程中需要固定 LED 光源和模组，并进行遮光；
2. 连接 EVK，使用对应测试条件的配置，开启采样后会自动保存 2 个 Rawdata 文件 PPG.csv 和 BG.csv，PPG.csv 为经过环境光抑制的数据，BG.csv 为环境光数据；
3. 开启采样，观察环境光数据 BG Rawdata 波形，调整 LED 驱动电流，使得ipd=10uA，即</t>
    </r>
    <r>
      <rPr>
        <sz val="11"/>
        <color rgb="FFFF0000"/>
        <rFont val="等线"/>
        <charset val="134"/>
        <scheme val="minor"/>
      </rPr>
      <t xml:space="preserve"> Avg 在 13000000 左右，Diff 在 4700000 左右</t>
    </r>
    <r>
      <rPr>
        <sz val="11"/>
        <color theme="1"/>
        <rFont val="等线"/>
        <charset val="134"/>
        <scheme val="minor"/>
      </rPr>
      <t xml:space="preserve">，此时该配置条件对应的 Ipd 环境光峰峰值约 10uApp；
4. LED 光源参数固定后，重新开启采样，采集稳定场景下的 Rawdata 90s，去掉前 20s 和后 10s 数据，取剩余 60s 数据进行下一步计算；
5. 分别对 PPG Rawdata 和 BG Rawdata 加 Blackman-Harris 窗后做 FFT，在幅频图中取 4Hz 频点的幅度值 </t>
    </r>
    <r>
      <rPr>
        <sz val="11"/>
        <color rgb="FFFF0000"/>
        <rFont val="等线"/>
        <charset val="134"/>
        <scheme val="minor"/>
      </rPr>
      <t>PPG_F_Amp</t>
    </r>
    <r>
      <rPr>
        <sz val="11"/>
        <color theme="1"/>
        <rFont val="等线"/>
        <charset val="134"/>
        <scheme val="minor"/>
      </rPr>
      <t xml:space="preserve"> 和</t>
    </r>
    <r>
      <rPr>
        <sz val="11"/>
        <color rgb="FFFF0000"/>
        <rFont val="等线"/>
        <charset val="134"/>
        <scheme val="minor"/>
      </rPr>
      <t xml:space="preserve"> BG_F_Amp</t>
    </r>
    <r>
      <rPr>
        <sz val="11"/>
        <rFont val="等线"/>
        <charset val="134"/>
        <scheme val="minor"/>
      </rPr>
      <t>；</t>
    </r>
    <r>
      <rPr>
        <sz val="11"/>
        <color theme="1"/>
        <rFont val="等线"/>
        <charset val="134"/>
        <scheme val="minor"/>
      </rPr>
      <t xml:space="preserve">
6. 将以上结果带入公式，得到环境光抑制比：
    BGRR = 20 * log10(BG_F_Amp / PPG_F_Amp) (dB)
Note: 
1. BGRR 可用 Rawdata 直接计算，也可换算为 PD 电流进行计算，Rawdata 转换为 PD 电流公式为：
    Ipd = (Rawdata - 2^23) * 1800 / 2^23 / 2 / Gain (uA)
2. Goodix 使用 KESIGHT 33520B 信号发生器直接驱动 LED 光源，
    调节信号源 offset 获得所需 BG Rawdata Avg，调节信号源 Amplitude 获得所需 BG Rawdata Diff
3.  Blackman-Harris 窗函数系数为 0.35875，加窗后用来校准幅度值。
</t>
    </r>
  </si>
  <si>
    <r>
      <rPr>
        <sz val="11"/>
        <color theme="1"/>
        <rFont val="等线"/>
        <charset val="134"/>
        <scheme val="minor"/>
      </rPr>
      <t xml:space="preserve">Fs = 100Hz, Gain = 50kΩ, Tint = </t>
    </r>
    <r>
      <rPr>
        <sz val="11"/>
        <color rgb="FFFF0000"/>
        <rFont val="等线"/>
        <charset val="134"/>
        <scheme val="minor"/>
      </rPr>
      <t>39us, 2nd</t>
    </r>
    <r>
      <rPr>
        <sz val="11"/>
        <color theme="1"/>
        <rFont val="等线"/>
        <charset val="134"/>
        <scheme val="minor"/>
      </rPr>
      <t xml:space="preserve"> order BGR
</t>
    </r>
    <r>
      <rPr>
        <i/>
        <u/>
        <sz val="11"/>
        <color theme="1"/>
        <rFont val="等线"/>
        <charset val="134"/>
        <scheme val="minor"/>
      </rPr>
      <t>配置：EVK BGR test</t>
    </r>
  </si>
  <si>
    <t>≥93dB</t>
  </si>
  <si>
    <t>CTR</t>
  </si>
  <si>
    <t>开窗较小CTR小无标准</t>
  </si>
  <si>
    <r>
      <rPr>
        <sz val="11"/>
        <color theme="1"/>
        <rFont val="等线"/>
        <charset val="134"/>
        <scheme val="minor"/>
      </rPr>
      <t>测试步骤和配置同</t>
    </r>
    <r>
      <rPr>
        <sz val="11"/>
        <color theme="1"/>
        <rFont val="等线"/>
        <charset val="134"/>
        <scheme val="minor"/>
      </rPr>
      <t>SNR</t>
    </r>
  </si>
  <si>
    <t>CAP-SNR</t>
  </si>
  <si>
    <r>
      <rPr>
        <sz val="11"/>
        <rFont val="等线"/>
        <charset val="134"/>
        <scheme val="minor"/>
      </rPr>
      <t xml:space="preserve">RG_CAP_INTCAP_SEL=1600fF
RG_LNA_CANCEL_CODE=0
</t>
    </r>
    <r>
      <rPr>
        <sz val="11"/>
        <color rgb="FFFF0000"/>
        <rFont val="等线"/>
        <charset val="134"/>
        <scheme val="minor"/>
      </rPr>
      <t>RG_LNA_CANCEL_CODE=20</t>
    </r>
    <r>
      <rPr>
        <sz val="11"/>
        <rFont val="等线"/>
        <charset val="134"/>
        <scheme val="minor"/>
      </rPr>
      <t xml:space="preserve">
</t>
    </r>
    <r>
      <rPr>
        <i/>
        <u/>
        <sz val="11"/>
        <color theme="1" tint="0.499984740745262"/>
        <rFont val="等线"/>
        <charset val="134"/>
        <scheme val="minor"/>
      </rPr>
      <t>3-1-25Hz-CAP.config</t>
    </r>
  </si>
  <si>
    <t>≥4.5</t>
  </si>
  <si>
    <r>
      <rPr>
        <sz val="11"/>
        <color theme="1"/>
        <rFont val="等线"/>
        <charset val="134"/>
        <scheme val="minor"/>
      </rPr>
      <t xml:space="preserve">1. 连接 EVK，将demo放置桌面，使用对应测试条件的配置，开启采样后会自动保存 Rawdata 文件 PPG.csv；
</t>
    </r>
    <r>
      <rPr>
        <sz val="11"/>
        <color rgb="FF7030A0"/>
        <rFont val="等线"/>
        <charset val="134"/>
        <scheme val="minor"/>
      </rPr>
      <t>2</t>
    </r>
    <r>
      <rPr>
        <sz val="11"/>
        <color rgb="FF7030A0"/>
        <rFont val="等线"/>
        <charset val="134"/>
        <scheme val="minor"/>
      </rPr>
      <t xml:space="preserve">. RG_LNA_CANCEL_CODE=0时，采集稳定场景下的 Rawdata 90s，去掉前后 10s 数据，取剩余数据计算平均值avg1和std1；
3. RG_LNA_CANCEL_CODE=4时，采集稳定场景下的 Rawdata 90s，去掉前后 10s 数据，取剩余数据计算平均值avg2和std2；
</t>
    </r>
    <r>
      <rPr>
        <sz val="11"/>
        <rFont val="等线"/>
        <charset val="134"/>
        <scheme val="minor"/>
      </rPr>
      <t>4. 计算结果abs(avg2-avg1)/ std2 / 6.66；</t>
    </r>
  </si>
  <si>
    <t>漏光测试</t>
  </si>
  <si>
    <r>
      <rPr>
        <sz val="11"/>
        <rFont val="等线"/>
        <charset val="134"/>
        <scheme val="minor"/>
      </rPr>
      <t xml:space="preserve">Fs = 100Hz, Gain = 10kΩ, Tint = 316us, 2nd order BGR
</t>
    </r>
    <r>
      <rPr>
        <i/>
        <u/>
        <sz val="11"/>
        <color theme="1" tint="0.499984740745262"/>
        <rFont val="等线"/>
        <charset val="134"/>
        <scheme val="minor"/>
      </rPr>
      <t>6-1-green-red-ir-louguang.config
Slot0 - Green LED data
Slot1- RED LED data
Slot2- IR LED data</t>
    </r>
  </si>
  <si>
    <t>avg ≤10000</t>
  </si>
  <si>
    <r>
      <rPr>
        <sz val="11"/>
        <color theme="1"/>
        <rFont val="等线"/>
        <charset val="134"/>
        <scheme val="minor"/>
      </rPr>
      <t xml:space="preserve">1. 连接 EVK，将demo放置桌面，LED和PD处用黑色导电胶布贴满全覆盖；
</t>
    </r>
    <r>
      <rPr>
        <sz val="11"/>
        <color rgb="FF7030A0"/>
        <rFont val="等线"/>
        <charset val="134"/>
        <scheme val="minor"/>
      </rPr>
      <t>2</t>
    </r>
    <r>
      <rPr>
        <sz val="11"/>
        <color rgb="FF7030A0"/>
        <rFont val="等线"/>
        <charset val="134"/>
        <scheme val="minor"/>
      </rPr>
      <t xml:space="preserve">. 观察Plotter界面slotcfg0rx0_mixdata0，slotcfg0rx1_mixdata0，slotcfg1rx0_mixdata0，slotcfg1rx1_mixdata0，slotcfg2rx0_mixdata0，slotcfg1rx2_mixdata0 </t>
    </r>
  </si>
  <si>
    <t>增益电阻k</t>
  </si>
  <si>
    <t>Ipd电流uA</t>
  </si>
  <si>
    <t>Rawdata</t>
  </si>
  <si>
    <t>转为为16位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</si>
</sst>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</numFmts>
  <fonts count="3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rgb="FF7030A0"/>
      <name val="等线"/>
      <charset val="134"/>
      <scheme val="minor"/>
    </font>
    <font>
      <sz val="11"/>
      <color rgb="FFFF0000"/>
      <name val="等线"/>
      <charset val="134"/>
      <scheme val="minor"/>
    </font>
    <font>
      <i/>
      <u/>
      <sz val="11"/>
      <color theme="1"/>
      <name val="等线"/>
      <charset val="134"/>
      <scheme val="minor"/>
    </font>
    <font>
      <i/>
      <u/>
      <sz val="11"/>
      <color theme="1" tint="0.499984740745262"/>
      <name val="等线"/>
      <charset val="134"/>
      <scheme val="minor"/>
    </font>
    <font>
      <i/>
      <sz val="11"/>
      <color theme="1" tint="0.499984740745262"/>
      <name val="等线"/>
      <charset val="134"/>
      <scheme val="minor"/>
    </font>
    <font>
      <sz val="11"/>
      <color rgb="FF7030A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" xfId="49"/>
    <cellStyle name="常规 2" xfId="50"/>
    <cellStyle name="常规 2 2" xfId="51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147320</xdr:colOff>
          <xdr:row>1</xdr:row>
          <xdr:rowOff>782320</xdr:rowOff>
        </xdr:from>
        <xdr:to>
          <xdr:col>11</xdr:col>
          <xdr:colOff>299720</xdr:colOff>
          <xdr:row>4</xdr:row>
          <xdr:rowOff>121920</xdr:rowOff>
        </xdr:to>
        <xdr:sp>
          <xdr:nvSpPr>
            <xdr:cNvPr id="9218" name="Object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15543530" y="1039495"/>
              <a:ext cx="3238500" cy="25876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1"/>
  <sheetViews>
    <sheetView tabSelected="1" zoomScale="85" zoomScaleNormal="85" workbookViewId="0">
      <selection activeCell="O7" sqref="O7"/>
    </sheetView>
  </sheetViews>
  <sheetFormatPr defaultColWidth="9" defaultRowHeight="13.8" outlineLevelCol="4"/>
  <cols>
    <col min="1" max="1" width="7.5" style="6" customWidth="1"/>
    <col min="2" max="2" width="33.5833333333333" style="6" customWidth="1"/>
    <col min="3" max="3" width="56.75" style="6" customWidth="1"/>
    <col min="4" max="4" width="20.8333333333333" style="6" customWidth="1"/>
    <col min="5" max="5" width="96.8333333333333" style="6" customWidth="1"/>
    <col min="6" max="16384" width="9" style="6"/>
  </cols>
  <sheetData>
    <row r="1" s="5" customFormat="1" ht="20.25" customHeight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ht="78" customHeight="1" spans="1:5">
      <c r="A2" s="8">
        <v>1</v>
      </c>
      <c r="B2" s="9" t="s">
        <v>5</v>
      </c>
      <c r="C2" s="10" t="s">
        <v>6</v>
      </c>
      <c r="D2" s="11" t="s">
        <v>7</v>
      </c>
      <c r="E2" s="12" t="s">
        <v>8</v>
      </c>
    </row>
    <row r="3" ht="78" customHeight="1" spans="1:5">
      <c r="A3" s="13"/>
      <c r="B3" s="14"/>
      <c r="C3" s="10" t="s">
        <v>9</v>
      </c>
      <c r="D3" s="11" t="s">
        <v>10</v>
      </c>
      <c r="E3" s="14"/>
    </row>
    <row r="4" ht="99.75" customHeight="1" spans="1:5">
      <c r="A4" s="15">
        <v>2</v>
      </c>
      <c r="B4" s="9" t="s">
        <v>11</v>
      </c>
      <c r="C4" s="10" t="s">
        <v>12</v>
      </c>
      <c r="D4" s="11" t="s">
        <v>13</v>
      </c>
      <c r="E4" s="12" t="s">
        <v>14</v>
      </c>
    </row>
    <row r="5" ht="99.75" customHeight="1" spans="1:5">
      <c r="A5" s="15"/>
      <c r="B5" s="16"/>
      <c r="C5" s="10" t="s">
        <v>15</v>
      </c>
      <c r="D5" s="11" t="s">
        <v>16</v>
      </c>
      <c r="E5" s="14"/>
    </row>
    <row r="6" ht="100.5" customHeight="1" spans="1:5">
      <c r="A6" s="8">
        <v>3</v>
      </c>
      <c r="B6" s="17" t="s">
        <v>17</v>
      </c>
      <c r="C6" s="18" t="s">
        <v>18</v>
      </c>
      <c r="D6" s="11" t="s">
        <v>19</v>
      </c>
      <c r="E6" s="19" t="s">
        <v>20</v>
      </c>
    </row>
    <row r="7" ht="176" customHeight="1" spans="1:5">
      <c r="A7" s="20"/>
      <c r="B7" s="21"/>
      <c r="C7" s="18" t="s">
        <v>21</v>
      </c>
      <c r="D7" s="11" t="s">
        <v>22</v>
      </c>
      <c r="E7" s="19"/>
    </row>
    <row r="8" ht="177.65" customHeight="1" spans="1:5">
      <c r="A8" s="8">
        <v>4</v>
      </c>
      <c r="B8" s="9" t="s">
        <v>23</v>
      </c>
      <c r="C8" s="10" t="s">
        <v>12</v>
      </c>
      <c r="D8" s="11" t="s">
        <v>24</v>
      </c>
      <c r="E8" s="12" t="s">
        <v>25</v>
      </c>
    </row>
    <row r="9" ht="191.15" customHeight="1" spans="1:5">
      <c r="A9" s="13"/>
      <c r="B9" s="22"/>
      <c r="C9" s="10" t="s">
        <v>15</v>
      </c>
      <c r="D9" s="11" t="s">
        <v>24</v>
      </c>
      <c r="E9" s="14"/>
    </row>
    <row r="10" ht="141" customHeight="1" spans="1:5">
      <c r="A10" s="15">
        <v>5</v>
      </c>
      <c r="B10" s="23" t="s">
        <v>26</v>
      </c>
      <c r="C10" s="10" t="s">
        <v>27</v>
      </c>
      <c r="D10" s="11" t="s">
        <v>28</v>
      </c>
      <c r="E10" s="24" t="s">
        <v>29</v>
      </c>
    </row>
    <row r="11" ht="141" customHeight="1" spans="1:5">
      <c r="A11" s="15">
        <v>6</v>
      </c>
      <c r="B11" s="23" t="s">
        <v>30</v>
      </c>
      <c r="C11" s="10" t="s">
        <v>31</v>
      </c>
      <c r="D11" s="11" t="s">
        <v>32</v>
      </c>
      <c r="E11" s="24" t="s">
        <v>33</v>
      </c>
    </row>
  </sheetData>
  <mergeCells count="12">
    <mergeCell ref="A2:A3"/>
    <mergeCell ref="A4:A5"/>
    <mergeCell ref="A6:A7"/>
    <mergeCell ref="A8:A9"/>
    <mergeCell ref="B2:B3"/>
    <mergeCell ref="B4:B5"/>
    <mergeCell ref="B6:B7"/>
    <mergeCell ref="B8:B9"/>
    <mergeCell ref="E2:E3"/>
    <mergeCell ref="E4:E5"/>
    <mergeCell ref="E6:E7"/>
    <mergeCell ref="E8:E9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9218" progId="Visio.Drawing.15" r:id="rId3">
          <objectPr defaultSize="0" r:id="rId4">
            <anchor moveWithCells="1">
              <from>
                <xdr:col>6</xdr:col>
                <xdr:colOff>147320</xdr:colOff>
                <xdr:row>1</xdr:row>
                <xdr:rowOff>782320</xdr:rowOff>
              </from>
              <to>
                <xdr:col>11</xdr:col>
                <xdr:colOff>299720</xdr:colOff>
                <xdr:row>4</xdr:row>
                <xdr:rowOff>121920</xdr:rowOff>
              </to>
            </anchor>
          </objectPr>
        </oleObject>
      </mc:Choice>
      <mc:Fallback>
        <oleObject shapeId="9218" progId="Visio.Drawing.1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D2:H11"/>
  <sheetViews>
    <sheetView workbookViewId="0">
      <selection activeCell="E17" sqref="E17"/>
    </sheetView>
  </sheetViews>
  <sheetFormatPr defaultColWidth="9" defaultRowHeight="13.8" outlineLevelCol="7"/>
  <cols>
    <col min="4" max="7" width="14.5" customWidth="1"/>
    <col min="8" max="8" width="10.0833333333333" customWidth="1"/>
    <col min="9" max="9" width="11.5833333333333" customWidth="1"/>
  </cols>
  <sheetData>
    <row r="2" spans="4:7">
      <c r="D2" s="1" t="s">
        <v>34</v>
      </c>
      <c r="E2" s="1" t="s">
        <v>35</v>
      </c>
      <c r="F2" s="1" t="s">
        <v>36</v>
      </c>
      <c r="G2" s="1" t="s">
        <v>37</v>
      </c>
    </row>
    <row r="3" spans="4:8">
      <c r="D3" s="2">
        <v>500</v>
      </c>
      <c r="E3" s="3">
        <v>0.93</v>
      </c>
      <c r="F3" s="2">
        <f>(2^23/1800)*E3*D3*2+2^23</f>
        <v>12722722.1333333</v>
      </c>
      <c r="G3" s="2">
        <f>F3/256</f>
        <v>49698.1333333333</v>
      </c>
      <c r="H3" s="4"/>
    </row>
    <row r="4" spans="4:7">
      <c r="D4" s="2">
        <v>500</v>
      </c>
      <c r="E4" s="3">
        <v>1</v>
      </c>
      <c r="F4" s="2">
        <f t="shared" ref="F4:F8" si="0">(2^23/1800)*E4*D4*2+2^23</f>
        <v>13048945.7777778</v>
      </c>
      <c r="G4" s="2">
        <f t="shared" ref="G4:G11" si="1">F4/256</f>
        <v>50972.4444444444</v>
      </c>
    </row>
    <row r="5" spans="4:7">
      <c r="D5" s="2">
        <v>500</v>
      </c>
      <c r="E5" s="3">
        <v>1.07</v>
      </c>
      <c r="F5" s="2">
        <f t="shared" si="0"/>
        <v>13375169.4222222</v>
      </c>
      <c r="G5" s="2">
        <f t="shared" si="1"/>
        <v>52246.7555555556</v>
      </c>
    </row>
    <row r="6" spans="4:8">
      <c r="D6" s="2">
        <v>100</v>
      </c>
      <c r="E6" s="3">
        <v>3.8</v>
      </c>
      <c r="F6" s="2">
        <f t="shared" si="0"/>
        <v>11930464.7111111</v>
      </c>
      <c r="G6" s="2">
        <f t="shared" si="1"/>
        <v>46603.3777777778</v>
      </c>
      <c r="H6" s="4"/>
    </row>
    <row r="7" spans="4:7">
      <c r="D7" s="2">
        <v>100</v>
      </c>
      <c r="E7" s="3">
        <v>4</v>
      </c>
      <c r="F7" s="2">
        <f t="shared" si="0"/>
        <v>12116878.2222222</v>
      </c>
      <c r="G7" s="2">
        <f t="shared" si="1"/>
        <v>47331.5555555556</v>
      </c>
    </row>
    <row r="8" spans="4:7">
      <c r="D8" s="2">
        <v>100</v>
      </c>
      <c r="E8" s="3">
        <v>4.2</v>
      </c>
      <c r="F8" s="2">
        <f t="shared" si="0"/>
        <v>12303291.7333333</v>
      </c>
      <c r="G8" s="2">
        <f t="shared" si="1"/>
        <v>48059.7333333333</v>
      </c>
    </row>
    <row r="9" spans="4:7">
      <c r="D9" s="2">
        <v>10</v>
      </c>
      <c r="E9" s="3">
        <v>78</v>
      </c>
      <c r="F9" s="2">
        <f t="shared" ref="F9:F11" si="2">(2^23/1800)*E9*D9*2+2^23</f>
        <v>15658734.9333333</v>
      </c>
      <c r="G9" s="2">
        <f t="shared" si="1"/>
        <v>61166.9333333333</v>
      </c>
    </row>
    <row r="10" spans="4:7">
      <c r="D10" s="2">
        <v>10</v>
      </c>
      <c r="E10" s="3">
        <v>4.2</v>
      </c>
      <c r="F10" s="2">
        <f t="shared" si="2"/>
        <v>8780076.37333333</v>
      </c>
      <c r="G10" s="2">
        <f t="shared" si="1"/>
        <v>34297.1733333333</v>
      </c>
    </row>
    <row r="11" spans="4:7">
      <c r="D11" s="2">
        <v>10</v>
      </c>
      <c r="E11" s="3">
        <v>84</v>
      </c>
      <c r="F11" s="2">
        <f t="shared" si="2"/>
        <v>16217975.4666667</v>
      </c>
      <c r="G11" s="2">
        <f t="shared" si="1"/>
        <v>63351.4666666667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PPG电流和Rawdata预估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钊</cp:lastModifiedBy>
  <dcterms:created xsi:type="dcterms:W3CDTF">2015-06-05T18:19:00Z</dcterms:created>
  <dcterms:modified xsi:type="dcterms:W3CDTF">2025-09-16T09:11:03Z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F16E8A37508C4B09ACB9640160E7BD0B_13</vt:lpwstr>
  </property>
  <property fmtid="{D5CDD505-2E9C-101B-9397-08002B2CF9AE}" pid="3" name="KSOProductBuildVer">
    <vt:lpwstr>2052-12.1.0.20784</vt:lpwstr>
  </property>
</Properties>
</file>